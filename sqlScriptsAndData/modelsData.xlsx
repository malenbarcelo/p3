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len\Desktop\pr3App\sqlScriptsAndData\"/>
    </mc:Choice>
  </mc:AlternateContent>
  <xr:revisionPtr revIDLastSave="0" documentId="13_ncr:1_{08D33DD4-10C1-4E8F-8D29-D1BC7CC11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2" r:id="rId1"/>
  </sheets>
  <definedNames>
    <definedName name="_xlnm._FilterDatabase" localSheetId="0" hidden="1">General!#REF!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2" l="1"/>
  <c r="S13" i="2"/>
  <c r="S12" i="2"/>
  <c r="R12" i="2"/>
  <c r="R13" i="2" l="1"/>
  <c r="R14" i="2" s="1"/>
  <c r="S11" i="2"/>
  <c r="R9" i="2" l="1"/>
  <c r="S8" i="2"/>
  <c r="S9" i="2" l="1"/>
  <c r="S4" i="2" l="1"/>
  <c r="R5" i="2"/>
  <c r="R6" i="2" l="1"/>
  <c r="S5" i="2"/>
  <c r="S6" i="2" l="1"/>
</calcChain>
</file>

<file path=xl/sharedStrings.xml><?xml version="1.0" encoding="utf-8"?>
<sst xmlns="http://schemas.openxmlformats.org/spreadsheetml/2006/main" count="41" uniqueCount="34">
  <si>
    <t>id</t>
  </si>
  <si>
    <t>users_categories</t>
  </si>
  <si>
    <t>/*---------------------------------------------------------------------------------------------------------------------------------------------------------*/</t>
  </si>
  <si>
    <t>DESARROLLO</t>
  </si>
  <si>
    <t>category_name</t>
  </si>
  <si>
    <t>first_name</t>
  </si>
  <si>
    <t>last_name</t>
  </si>
  <si>
    <t>email</t>
  </si>
  <si>
    <t>password</t>
  </si>
  <si>
    <t>Malén</t>
  </si>
  <si>
    <t>Barceló</t>
  </si>
  <si>
    <t>barcelomalen@gmail.com</t>
  </si>
  <si>
    <t>user_name</t>
  </si>
  <si>
    <t>mbarcelo</t>
  </si>
  <si>
    <t>users</t>
  </si>
  <si>
    <t>id_users_categories</t>
  </si>
  <si>
    <t>$2a$10$SKGpCje/GS8gYvx84lzCZOysy46wKVn0fB2eBPUlML6.gcpMCmgp6</t>
  </si>
  <si>
    <t>vehicles</t>
  </si>
  <si>
    <t>0001</t>
  </si>
  <si>
    <t>0002</t>
  </si>
  <si>
    <t>vehicle_code</t>
  </si>
  <si>
    <t>Administrador general</t>
  </si>
  <si>
    <t>Administrador empresa</t>
  </si>
  <si>
    <t>pr3_db</t>
  </si>
  <si>
    <t>last_location_latitude</t>
  </si>
  <si>
    <t>last_location_longitude</t>
  </si>
  <si>
    <t>-34.62302895</t>
  </si>
  <si>
    <t>-58.48856033</t>
  </si>
  <si>
    <t>-34.58787814</t>
  </si>
  <si>
    <t>-58.41041976</t>
  </si>
  <si>
    <t>0003</t>
  </si>
  <si>
    <t xml:space="preserve"> -58.489051683512</t>
  </si>
  <si>
    <t>-34.623071183741445</t>
  </si>
  <si>
    <t>last_actualization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</si>
</sst>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164" fontId="3" fillId="2" borderId="1" xfId="1" applyFont="1" applyFill="1" applyBorder="1" applyAlignment="1">
      <alignment horizontal="center"/>
    </xf>
    <xf numFmtId="0" fontId="2" fillId="3" borderId="0" xfId="0" applyFont="1" applyFill="1"/>
    <xf numFmtId="0" fontId="1" fillId="2" borderId="1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1" xfId="0" quotePrefix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T16"/>
  <sheetViews>
    <sheetView showGridLines="0" tabSelected="1" topLeftCell="N1" zoomScale="80" zoomScaleNormal="80" workbookViewId="0">
      <selection activeCell="R23" sqref="R23"/>
    </sheetView>
  </sheetViews>
  <sheetFormatPr baseColWidth="10" defaultColWidth="10.88671875" defaultRowHeight="14.4" x14ac:dyDescent="0.3"/>
  <cols>
    <col min="1" max="1" width="10.44140625" bestFit="1" customWidth="1"/>
    <col min="2" max="2" width="11.88671875" style="1" customWidth="1"/>
    <col min="3" max="3" width="18" style="1" customWidth="1"/>
    <col min="4" max="4" width="38.88671875" style="2" bestFit="1" customWidth="1"/>
    <col min="5" max="5" width="22.6640625" style="1" customWidth="1"/>
    <col min="6" max="6" width="58.44140625" style="1" customWidth="1"/>
    <col min="7" max="7" width="18.21875" style="1" bestFit="1" customWidth="1"/>
    <col min="8" max="8" width="16.77734375" style="1" customWidth="1"/>
    <col min="9" max="9" width="10.6640625" style="1" bestFit="1" customWidth="1"/>
    <col min="10" max="10" width="11.88671875" style="1" customWidth="1"/>
    <col min="11" max="11" width="12.5546875" style="1" customWidth="1"/>
    <col min="12" max="13" width="14.88671875" style="1" customWidth="1"/>
    <col min="14" max="14" width="10.5546875" style="1" customWidth="1"/>
    <col min="15" max="15" width="12.33203125" style="1" customWidth="1"/>
    <col min="16" max="16" width="21.88671875" style="1" customWidth="1"/>
    <col min="17" max="17" width="17.6640625" style="2" bestFit="1" customWidth="1"/>
    <col min="18" max="18" width="64.44140625" style="2" bestFit="1" customWidth="1"/>
    <col min="19" max="19" width="117" style="1" customWidth="1"/>
    <col min="20" max="21" width="11.88671875" customWidth="1"/>
    <col min="23" max="23" width="13" bestFit="1" customWidth="1"/>
    <col min="24" max="24" width="13.21875" customWidth="1"/>
    <col min="25" max="25" width="11.21875" customWidth="1"/>
    <col min="28" max="28" width="108.21875" customWidth="1"/>
  </cols>
  <sheetData>
    <row r="1" spans="1:20" x14ac:dyDescent="0.3">
      <c r="S1" s="14" t="s">
        <v>3</v>
      </c>
    </row>
    <row r="2" spans="1:20" x14ac:dyDescent="0.3">
      <c r="S2" s="14" t="s">
        <v>23</v>
      </c>
    </row>
    <row r="3" spans="1:20" x14ac:dyDescent="0.3">
      <c r="S3" s="12" t="s">
        <v>2</v>
      </c>
    </row>
    <row r="4" spans="1:20" x14ac:dyDescent="0.3">
      <c r="A4" s="6"/>
      <c r="B4" s="3" t="s">
        <v>0</v>
      </c>
      <c r="C4" s="3" t="s">
        <v>4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4"/>
      <c r="R4" s="4"/>
      <c r="S4" s="9" t="str">
        <f>+"/*" &amp;Q5 &amp; "*/"</f>
        <v>/*users_categories*/</v>
      </c>
    </row>
    <row r="5" spans="1:20" x14ac:dyDescent="0.3">
      <c r="A5" s="6"/>
      <c r="B5" s="7"/>
      <c r="C5" s="8" t="s">
        <v>21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4" t="s">
        <v>1</v>
      </c>
      <c r="R5" s="4" t="str">
        <f>+"("&amp;C4&amp;")"</f>
        <v>(category_name)</v>
      </c>
      <c r="S5" s="12" t="str">
        <f>+"INSERT INTO " &amp; $S$2 &amp; "." &amp; Q5 &amp; " " &amp;R5&amp;" VALUES('"&amp;C5&amp;"');"</f>
        <v>INSERT INTO pr3_db.users_categories (category_name) VALUES('Administrador general');</v>
      </c>
    </row>
    <row r="6" spans="1:20" x14ac:dyDescent="0.3">
      <c r="A6" s="6"/>
      <c r="B6" s="7"/>
      <c r="C6" s="8" t="s">
        <v>22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" t="s">
        <v>1</v>
      </c>
      <c r="R6" s="4" t="str">
        <f>+R5</f>
        <v>(category_name)</v>
      </c>
      <c r="S6" s="12" t="str">
        <f t="shared" ref="S6" si="0">+"INSERT INTO " &amp; $S$2 &amp; "." &amp; Q6 &amp; " " &amp;R6&amp;" VALUES('"&amp;C6&amp;"');"</f>
        <v>INSERT INTO pr3_db.users_categories (category_name) VALUES('Administrador empresa');</v>
      </c>
    </row>
    <row r="7" spans="1:20" x14ac:dyDescent="0.3">
      <c r="S7" s="12" t="s">
        <v>2</v>
      </c>
    </row>
    <row r="8" spans="1:20" x14ac:dyDescent="0.3">
      <c r="A8" s="6"/>
      <c r="B8" s="7" t="s">
        <v>0</v>
      </c>
      <c r="C8" s="7" t="s">
        <v>5</v>
      </c>
      <c r="D8" s="7" t="s">
        <v>6</v>
      </c>
      <c r="E8" s="7" t="s">
        <v>12</v>
      </c>
      <c r="F8" s="7" t="s">
        <v>7</v>
      </c>
      <c r="G8" s="7" t="s">
        <v>8</v>
      </c>
      <c r="H8" s="7" t="s">
        <v>15</v>
      </c>
      <c r="I8" s="5"/>
      <c r="J8" s="5"/>
      <c r="K8" s="5"/>
      <c r="L8" s="5"/>
      <c r="M8" s="5"/>
      <c r="N8" s="5"/>
      <c r="O8" s="5"/>
      <c r="P8" s="5"/>
      <c r="Q8" s="4"/>
      <c r="R8" s="4"/>
      <c r="S8" s="9" t="str">
        <f>+"/*" &amp;Q9 &amp; "*/"</f>
        <v>/*users*/</v>
      </c>
      <c r="T8" s="1"/>
    </row>
    <row r="9" spans="1:20" x14ac:dyDescent="0.3">
      <c r="A9" s="6"/>
      <c r="B9" s="7"/>
      <c r="C9" s="7" t="s">
        <v>9</v>
      </c>
      <c r="D9" s="7" t="s">
        <v>10</v>
      </c>
      <c r="E9" s="7" t="s">
        <v>13</v>
      </c>
      <c r="F9" s="10" t="s">
        <v>11</v>
      </c>
      <c r="G9" s="7" t="s">
        <v>16</v>
      </c>
      <c r="H9" s="7">
        <v>1</v>
      </c>
      <c r="I9" s="5"/>
      <c r="J9" s="5"/>
      <c r="K9" s="5"/>
      <c r="L9" s="5"/>
      <c r="M9" s="5"/>
      <c r="N9" s="5"/>
      <c r="O9" s="5"/>
      <c r="P9" s="5"/>
      <c r="Q9" s="4" t="s">
        <v>14</v>
      </c>
      <c r="R9" s="4" t="str">
        <f>+"("&amp;C8&amp;","&amp;D8&amp;","&amp;E8&amp;","&amp;F8&amp;","&amp;G8&amp;","&amp;H8&amp;")"</f>
        <v>(first_name,last_name,user_name,email,password,id_users_categories)</v>
      </c>
      <c r="S9" s="9" t="str">
        <f>+"INSERT INTO " &amp; $S$2 &amp; "." &amp; Q9 &amp; " " &amp;R9&amp;" VALUES('"&amp;C9&amp;"','"&amp;D9&amp;"','"&amp;E9&amp;"','"&amp;F9&amp;"','"&amp;G9&amp;"',"&amp;H9&amp;");"</f>
        <v>INSERT INTO pr3_db.users (first_name,last_name,user_name,email,password,id_users_categories) VALUES('Malén','Barceló','mbarcelo','barcelomalen@gmail.com','$2a$10$SKGpCje/GS8gYvx84lzCZOysy46wKVn0fB2eBPUlML6.gcpMCmgp6',1);</v>
      </c>
      <c r="T9" s="1"/>
    </row>
    <row r="10" spans="1:20" x14ac:dyDescent="0.3">
      <c r="S10" s="12" t="s">
        <v>2</v>
      </c>
    </row>
    <row r="11" spans="1:20" x14ac:dyDescent="0.3">
      <c r="A11" s="6"/>
      <c r="B11" s="7" t="s">
        <v>0</v>
      </c>
      <c r="C11" s="7" t="s">
        <v>20</v>
      </c>
      <c r="D11" s="7" t="s">
        <v>24</v>
      </c>
      <c r="E11" s="7" t="s">
        <v>25</v>
      </c>
      <c r="F11" s="7" t="s">
        <v>33</v>
      </c>
      <c r="Q11" s="4"/>
      <c r="R11" s="4"/>
      <c r="S11" s="9" t="str">
        <f>+"/*" &amp;Q12 &amp; "*/"</f>
        <v>/*vehicles*/</v>
      </c>
      <c r="T11" s="1"/>
    </row>
    <row r="12" spans="1:20" x14ac:dyDescent="0.3">
      <c r="A12" s="6"/>
      <c r="B12" s="7"/>
      <c r="C12" s="13" t="s">
        <v>18</v>
      </c>
      <c r="D12" s="13" t="s">
        <v>26</v>
      </c>
      <c r="E12" s="13" t="s">
        <v>27</v>
      </c>
      <c r="F12" s="13">
        <v>1682863980</v>
      </c>
      <c r="Q12" s="4" t="s">
        <v>17</v>
      </c>
      <c r="R12" s="4" t="str">
        <f>+"("&amp;C11&amp;","&amp;D11&amp;","&amp;E11&amp;","&amp;F11&amp;")"</f>
        <v>(vehicle_code,last_location_latitude,last_location_longitude,last_actualization)</v>
      </c>
      <c r="S12" s="9" t="str">
        <f>+"INSERT INTO " &amp; $S$2 &amp; "." &amp; Q12 &amp; " " &amp;R12&amp;" VALUES('"&amp;C12&amp;"','"&amp;D12&amp;"','"&amp;E12&amp;"',"&amp;F12&amp;");"</f>
        <v>INSERT INTO pr3_db.vehicles (vehicle_code,last_location_latitude,last_location_longitude,last_actualization) VALUES('0001','-34.62302895','-58.48856033',1682863980);</v>
      </c>
      <c r="T12" s="1"/>
    </row>
    <row r="13" spans="1:20" x14ac:dyDescent="0.3">
      <c r="A13" s="6"/>
      <c r="B13" s="7"/>
      <c r="C13" s="13" t="s">
        <v>19</v>
      </c>
      <c r="D13" s="13" t="s">
        <v>32</v>
      </c>
      <c r="E13" s="13" t="s">
        <v>31</v>
      </c>
      <c r="F13" s="13">
        <v>1682863980</v>
      </c>
      <c r="Q13" s="4" t="s">
        <v>17</v>
      </c>
      <c r="R13" s="4" t="str">
        <f>+R12</f>
        <v>(vehicle_code,last_location_latitude,last_location_longitude,last_actualization)</v>
      </c>
      <c r="S13" s="9" t="str">
        <f>+"INSERT INTO " &amp; $S$2 &amp; "." &amp; Q13 &amp; " " &amp;R13&amp;" VALUES('"&amp;C13&amp;"','"&amp;D13&amp;"','"&amp;E13&amp;"',"&amp;F13&amp;");"</f>
        <v>INSERT INTO pr3_db.vehicles (vehicle_code,last_location_latitude,last_location_longitude,last_actualization) VALUES('0002','-34.623071183741445',' -58.489051683512',1682863980);</v>
      </c>
      <c r="T13" s="1"/>
    </row>
    <row r="14" spans="1:20" x14ac:dyDescent="0.3">
      <c r="C14" s="13" t="s">
        <v>30</v>
      </c>
      <c r="D14" s="13" t="s">
        <v>28</v>
      </c>
      <c r="E14" s="13" t="s">
        <v>29</v>
      </c>
      <c r="F14" s="13">
        <v>1682863980</v>
      </c>
      <c r="Q14" s="4" t="s">
        <v>17</v>
      </c>
      <c r="R14" s="4" t="str">
        <f>+R13</f>
        <v>(vehicle_code,last_location_latitude,last_location_longitude,last_actualization)</v>
      </c>
      <c r="S14" s="9" t="str">
        <f>+"INSERT INTO " &amp; $S$2 &amp; "." &amp; Q14 &amp; " " &amp;R14&amp;" VALUES('"&amp;C14&amp;"','"&amp;D14&amp;"','"&amp;E14&amp;"',"&amp;F14&amp;");"</f>
        <v>INSERT INTO pr3_db.vehicles (vehicle_code,last_location_latitude,last_location_longitude,last_actualization) VALUES('0003','-34.58787814','-58.41041976',1682863980);</v>
      </c>
    </row>
    <row r="16" spans="1:20" x14ac:dyDescent="0.3">
      <c r="R16" s="11"/>
    </row>
  </sheetData>
  <hyperlinks>
    <hyperlink ref="E9" r:id="rId1" display="barcelomalen@gmail.com" xr:uid="{00000000-0004-0000-0000-000009000000}"/>
    <hyperlink ref="F9" r:id="rId2" xr:uid="{00000000-0004-0000-0000-00000B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 Barcelo</dc:creator>
  <cp:lastModifiedBy>Malen</cp:lastModifiedBy>
  <dcterms:created xsi:type="dcterms:W3CDTF">2023-03-17T12:58:59Z</dcterms:created>
  <dcterms:modified xsi:type="dcterms:W3CDTF">2024-04-10T14:38:44Z</dcterms:modified>
</cp:coreProperties>
</file>